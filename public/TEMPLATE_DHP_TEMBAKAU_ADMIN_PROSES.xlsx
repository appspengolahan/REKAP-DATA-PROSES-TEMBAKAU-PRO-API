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HP_INPUT_PROSES" sheetId="1" r:id="rId1"/>
    <sheet name="MASTER_DATA" sheetId="2" r:id="rId2"/>
    <sheet name="KAMUS_DATA_WEB_APP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cols>
    <col min="1" max="1" width="20.83203125" customWidth="1"/>
    <col min="2" max="2" width="16.83203125" customWidth="1"/>
    <col min="3" max="3" width="15.83203125" customWidth="1"/>
    <col min="4" max="4" width="10.83203125" customWidth="1"/>
    <col min="5" max="5" width="14.83203125" customWidth="1"/>
    <col min="6" max="6" width="18.83203125" customWidth="1"/>
    <col min="7" max="7" width="15.83203125" customWidth="1"/>
    <col min="8" max="8" width="15.83203125" customWidth="1"/>
    <col min="9" max="9" width="12.83203125" customWidth="1"/>
    <col min="10" max="10" width="12.83203125" customWidth="1"/>
    <col min="11" max="11" width="18.83203125" customWidth="1"/>
    <col min="12" max="12" width="15.83203125" customWidth="1"/>
    <col min="13" max="13" width="16.83203125" customWidth="1"/>
    <col min="14" max="14" width="18.83203125" customWidth="1"/>
    <col min="15" max="15" width="18.83203125" customWidth="1"/>
    <col min="16" max="16" width="15.83203125" customWidth="1"/>
    <col min="17" max="17" width="35.83203125" customWidth="1"/>
  </cols>
  <sheetData>
    <row r="1">
      <c r="A1" t="str">
        <v>TIMESTAMP_ENTRI</v>
      </c>
      <c r="B1" t="str">
        <v>NO_BATCH</v>
      </c>
      <c r="C1" t="str">
        <v>TANGGAL_PROSES</v>
      </c>
      <c r="D1" t="str">
        <v>SHIFT</v>
      </c>
      <c r="E1" t="str">
        <v>JALUR_PROSES</v>
      </c>
      <c r="F1" t="str">
        <v>JENIS_TEMBAKAU</v>
      </c>
      <c r="G1" t="str">
        <v>NETTO_BAKU_KG</v>
      </c>
      <c r="H1" t="str">
        <v>NETTO_HASIL_KG</v>
      </c>
      <c r="I1" t="str">
        <v>SUSUT_KG</v>
      </c>
      <c r="J1" t="str">
        <v>SUSUT_PCT</v>
      </c>
      <c r="K1" t="str">
        <v>FRAKSI_GAGANG_KG</v>
      </c>
      <c r="L1" t="str">
        <v>FRAKSI_AIR_KG</v>
      </c>
      <c r="M1" t="str">
        <v>FRAKSI_DEBU_KG</v>
      </c>
      <c r="N1" t="str">
        <v>SELISIH_NERACA_KG</v>
      </c>
      <c r="O1" t="str">
        <v>OPERATOR_ADMIN</v>
      </c>
      <c r="P1" t="str">
        <v>STATUS_PROSES</v>
      </c>
      <c r="Q1" t="str">
        <v>CATATAN_KENDALA</v>
      </c>
    </row>
    <row r="2">
      <c r="A2" t="str">
        <v>2026-10-24 08:30:00</v>
      </c>
      <c r="B2" t="str">
        <v>BTH-202610-001</v>
      </c>
      <c r="C2" t="str">
        <v>2026-10-24</v>
      </c>
      <c r="D2" t="str">
        <v>Shift 1</v>
      </c>
      <c r="E2" t="str">
        <v>SKM</v>
      </c>
      <c r="F2" t="str">
        <v>Virginia FC</v>
      </c>
      <c r="G2">
        <v>1250</v>
      </c>
      <c r="H2">
        <v>1185.5</v>
      </c>
      <c r="I2">
        <f>G2-H2</f>
      </c>
      <c r="J2">
        <f>IF(G2&gt;0, (G2-H2)/G2, 0)</f>
      </c>
      <c r="K2">
        <v>38.2</v>
      </c>
      <c r="L2">
        <v>18.5</v>
      </c>
      <c r="M2">
        <v>7.8</v>
      </c>
      <c r="N2">
        <f>I2-(K2+L2+M2)</f>
      </c>
      <c r="O2" t="str">
        <v>Ahmad Faisal</v>
      </c>
      <c r="P2" t="str">
        <v>COMPLETED</v>
      </c>
      <c r="Q2" t="str">
        <v>Batch normal, kelembaban inlet 13.8%</v>
      </c>
    </row>
    <row r="3">
      <c r="A3" t="str">
        <v>2026-10-24 10:45:00</v>
      </c>
      <c r="B3" t="str">
        <v>BTH-202610-002</v>
      </c>
      <c r="C3" t="str">
        <v>2026-10-24</v>
      </c>
      <c r="D3" t="str">
        <v>Shift 1</v>
      </c>
      <c r="E3" t="str">
        <v>SKT</v>
      </c>
      <c r="F3" t="str">
        <v>Kasturi Super</v>
      </c>
      <c r="G3">
        <v>850</v>
      </c>
      <c r="H3">
        <v>804.2</v>
      </c>
      <c r="I3">
        <f>G3-H3</f>
      </c>
      <c r="J3">
        <f>IF(G3&gt;0, (G3-H3)/G3, 0)</f>
      </c>
      <c r="K3">
        <v>28.5</v>
      </c>
      <c r="L3">
        <v>12.3</v>
      </c>
      <c r="M3">
        <v>5</v>
      </c>
      <c r="N3">
        <f>I3-(K3+L3+M3)</f>
      </c>
      <c r="O3" t="str">
        <v>Ahmad Faisal</v>
      </c>
      <c r="P3" t="str">
        <v>COMPLETED</v>
      </c>
      <c r="Q3" t="str">
        <v>Sortir gagang halus manual optimal</v>
      </c>
    </row>
    <row r="4">
      <c r="A4" t="str">
        <v>2026-10-24 14:15:00</v>
      </c>
      <c r="B4" t="str">
        <v>BTH-202610-003</v>
      </c>
      <c r="C4" t="str">
        <v>2026-10-24</v>
      </c>
      <c r="D4" t="str">
        <v>Shift 2</v>
      </c>
      <c r="E4" t="str">
        <v>SKM</v>
      </c>
      <c r="F4" t="str">
        <v>Madura Rajang</v>
      </c>
      <c r="G4">
        <v>1400</v>
      </c>
      <c r="H4">
        <v>1326</v>
      </c>
      <c r="I4">
        <f>G4-H4</f>
      </c>
      <c r="J4">
        <f>IF(G4&gt;0, (G4-H4)/G4, 0)</f>
      </c>
      <c r="K4">
        <v>44</v>
      </c>
      <c r="L4">
        <v>21</v>
      </c>
      <c r="M4">
        <v>9</v>
      </c>
      <c r="N4">
        <f>I4-(K4+L4+M4)</f>
      </c>
      <c r="O4" t="str">
        <v>Budi Santoso</v>
      </c>
      <c r="P4" t="str">
        <v>COMPLETED</v>
      </c>
      <c r="Q4" t="str">
        <v>Kadar air bahan baku sedikit tinggi (14.2%)</v>
      </c>
    </row>
    <row r="5">
      <c r="A5" t="str">
        <v>2026-10-24 16:30:00</v>
      </c>
      <c r="B5" t="str">
        <v>BTH-202610-004</v>
      </c>
      <c r="C5" t="str">
        <v>2026-10-24</v>
      </c>
      <c r="D5" t="str">
        <v>Shift 2</v>
      </c>
      <c r="E5" t="str">
        <v>SKT</v>
      </c>
      <c r="F5" t="str">
        <v>Boyolali Gurih</v>
      </c>
      <c r="G5">
        <v>920</v>
      </c>
      <c r="H5">
        <v>871.5</v>
      </c>
      <c r="I5">
        <f>G5-H5</f>
      </c>
      <c r="J5">
        <f>IF(G5&gt;0, (G5-H5)/G5, 0)</f>
      </c>
      <c r="K5">
        <v>31</v>
      </c>
      <c r="L5">
        <v>12.5</v>
      </c>
      <c r="M5">
        <v>5</v>
      </c>
      <c r="N5">
        <f>I5-(K5+L5+M5)</f>
      </c>
      <c r="O5" t="str">
        <v>Budi Santoso</v>
      </c>
      <c r="P5" t="str">
        <v>COMPLETED</v>
      </c>
      <c r="Q5" t="str">
        <v>Kondisi pisau rajang baru di-asah</v>
      </c>
    </row>
    <row r="6">
      <c r="A6" t="str">
        <v>2026-10-24 21:00:00</v>
      </c>
      <c r="B6" t="str">
        <v>BTH-202610-005</v>
      </c>
      <c r="C6" t="str">
        <v>2026-10-24</v>
      </c>
      <c r="D6" t="str">
        <v>Shift 3</v>
      </c>
      <c r="E6" t="str">
        <v>SKM</v>
      </c>
      <c r="F6" t="str">
        <v>Temanggung Asli</v>
      </c>
      <c r="G6">
        <v>1100</v>
      </c>
      <c r="H6">
        <v>1039.5</v>
      </c>
      <c r="I6">
        <f>G6-H6</f>
      </c>
      <c r="J6">
        <f>IF(G6&gt;0, (G6-H6)/G6, 0)</f>
      </c>
      <c r="K6">
        <v>35.5</v>
      </c>
      <c r="L6">
        <v>17</v>
      </c>
      <c r="M6">
        <v>8</v>
      </c>
      <c r="N6">
        <f>I6-(K6+L6+M6)</f>
      </c>
      <c r="O6" t="str">
        <v>Dian Pratama</v>
      </c>
      <c r="P6" t="str">
        <v>COMPLETED</v>
      </c>
      <c r="Q6" t="str">
        <v>Shift malam lancar, neraca massa seimbang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20.83203125" customWidth="1"/>
    <col min="2" max="2" width="15.83203125" customWidth="1"/>
    <col min="3" max="3" width="12.83203125" customWidth="1"/>
    <col min="4" max="4" width="15.83203125" customWidth="1"/>
    <col min="5" max="5" width="22.83203125" customWidth="1"/>
    <col min="6" max="6" width="30.83203125" customWidth="1"/>
  </cols>
  <sheetData>
    <row r="1">
      <c r="A1" t="str">
        <v>JENIS_TEMBAKAU</v>
      </c>
      <c r="B1" t="str">
        <v>JALUR_PROSES</v>
      </c>
      <c r="C1" t="str">
        <v>SHIFT</v>
      </c>
      <c r="D1" t="str">
        <v>STATUS_PROSES</v>
      </c>
      <c r="E1" t="str">
        <v>TOLERANSI_SUSUT_MAX</v>
      </c>
      <c r="F1" t="str">
        <v>KETERANGAN</v>
      </c>
    </row>
    <row r="2">
      <c r="A2" t="str">
        <v>Virginia FC</v>
      </c>
      <c r="B2" t="str">
        <v>SKM</v>
      </c>
      <c r="C2" t="str">
        <v>Shift 1</v>
      </c>
      <c r="D2" t="str">
        <v>COMPLETED</v>
      </c>
      <c r="E2">
        <v>0.052</v>
      </c>
      <c r="F2" t="str">
        <v>Standar susut maks 5.2%</v>
      </c>
    </row>
    <row r="3">
      <c r="A3" t="str">
        <v>Kasturi Super</v>
      </c>
      <c r="B3" t="str">
        <v>SKT</v>
      </c>
      <c r="C3" t="str">
        <v>Shift 2</v>
      </c>
      <c r="D3" t="str">
        <v>ON-HOLD</v>
      </c>
      <c r="E3">
        <v>0.055</v>
      </c>
      <c r="F3" t="str">
        <v>Standar susut maks 5.5%</v>
      </c>
    </row>
    <row r="4">
      <c r="A4" t="str">
        <v>Madura Rajang</v>
      </c>
      <c r="B4" t="str">
        <v>BLEND-A</v>
      </c>
      <c r="C4" t="str">
        <v>Shift 3</v>
      </c>
      <c r="D4" t="str">
        <v>REJECTED</v>
      </c>
      <c r="E4">
        <v>0.054</v>
      </c>
      <c r="F4" t="str">
        <v>Standar susut maks 5.4%</v>
      </c>
    </row>
    <row r="5">
      <c r="A5" t="str">
        <v>Boyolali Gurih</v>
      </c>
      <c r="B5" t="str">
        <v>BLEND-B</v>
      </c>
      <c r="C5" t="str">
        <v/>
      </c>
      <c r="D5" t="str">
        <v>IN-PROGRESS</v>
      </c>
      <c r="E5">
        <v>0.053</v>
      </c>
      <c r="F5" t="str">
        <v>Standar susut maks 5.3%</v>
      </c>
    </row>
    <row r="6">
      <c r="A6" t="str">
        <v>Temanggung Asli</v>
      </c>
      <c r="B6" t="str">
        <v/>
      </c>
      <c r="C6" t="str">
        <v/>
      </c>
      <c r="D6" t="str">
        <v/>
      </c>
      <c r="E6">
        <v>0.056</v>
      </c>
      <c r="F6" t="str">
        <v>Standar susut maks 5.6%</v>
      </c>
    </row>
    <row r="7">
      <c r="A7" t="str">
        <v>Burley Export</v>
      </c>
      <c r="B7" t="str">
        <v/>
      </c>
      <c r="C7" t="str">
        <v/>
      </c>
      <c r="D7" t="str">
        <v/>
      </c>
      <c r="E7">
        <v>0.05</v>
      </c>
      <c r="F7" t="str">
        <v>Standar susut maks 5.0%</v>
      </c>
    </row>
    <row r="8">
      <c r="A8" t="str">
        <v>Blend Signature</v>
      </c>
      <c r="B8" t="str">
        <v/>
      </c>
      <c r="C8" t="str">
        <v/>
      </c>
      <c r="D8" t="str">
        <v/>
      </c>
      <c r="E8">
        <v>0.052</v>
      </c>
      <c r="F8" t="str">
        <v>Standar susut maks 5.2%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20.83203125" customWidth="1"/>
    <col min="2" max="2" width="20.83203125" customWidth="1"/>
    <col min="3" max="3" width="35.83203125" customWidth="1"/>
    <col min="4" max="4" width="30.83203125" customWidth="1"/>
    <col min="5" max="5" width="50.83203125" customWidth="1"/>
  </cols>
  <sheetData>
    <row r="1">
      <c r="A1" t="str">
        <v>NAMA_KOLOM</v>
      </c>
      <c r="B1" t="str">
        <v>TIPE_DATA_DB</v>
      </c>
      <c r="C1" t="str">
        <v>VALIDASI_WEB_FORM</v>
      </c>
      <c r="D1" t="str">
        <v>FORMULA_EXCEL</v>
      </c>
      <c r="E1" t="str">
        <v>DESKRIPSI_DAN_CONTOH</v>
      </c>
    </row>
    <row r="2">
      <c r="A2" t="str">
        <v>TIMESTAMP_ENTRI</v>
      </c>
      <c r="B2" t="str">
        <v>DATETIME / ISO8601</v>
      </c>
      <c r="C2" t="str">
        <v>Auto-generated saat klik Simpan</v>
      </c>
      <c r="D2" t="str">
        <v>-</v>
      </c>
      <c r="E2" t="str">
        <v>Waktu saat data di-submit di form web (cth: 2026-10-24 08:30:00)</v>
      </c>
    </row>
    <row r="3">
      <c r="A3" t="str">
        <v>NO_BATCH</v>
      </c>
      <c r="B3" t="str">
        <v>VARCHAR(30)</v>
      </c>
      <c r="C3" t="str">
        <v>Required, Unik, Format regex: ^BTH-\d{6}-\d{3}$</v>
      </c>
      <c r="D3" t="str">
        <v>-</v>
      </c>
      <c r="E3" t="str">
        <v>Nomor batch produksi tembakau (cth: BTH-202610-001)</v>
      </c>
    </row>
    <row r="4">
      <c r="A4" t="str">
        <v>TANGGAL_PROSES</v>
      </c>
      <c r="B4" t="str">
        <v>DATE (YYYY-MM-DD)</v>
      </c>
      <c r="C4" t="str">
        <v>Required, Datepicker (max: today)</v>
      </c>
      <c r="D4" t="str">
        <v>-</v>
      </c>
      <c r="E4" t="str">
        <v>Tanggal pengerjaan fisik di lantai produksi</v>
      </c>
    </row>
    <row r="5">
      <c r="A5" t="str">
        <v>SHIFT</v>
      </c>
      <c r="B5" t="str">
        <v>VARCHAR(10)</v>
      </c>
      <c r="C5" t="str">
        <v>Dropdown: Shift 1, Shift 2, Shift 3</v>
      </c>
      <c r="D5" t="str">
        <v>-</v>
      </c>
      <c r="E5" t="str">
        <v>Shift kerja operasional</v>
      </c>
    </row>
    <row r="6">
      <c r="A6" t="str">
        <v>JALUR_PROSES</v>
      </c>
      <c r="B6" t="str">
        <v>VARCHAR(20)</v>
      </c>
      <c r="C6" t="str">
        <v>Dropdown: SKM, SKT, BLEND-A, BLEND-B</v>
      </c>
      <c r="D6" t="str">
        <v>-</v>
      </c>
      <c r="E6" t="str">
        <v>Jalur mesin atau lantai proses produksi</v>
      </c>
    </row>
    <row r="7">
      <c r="A7" t="str">
        <v>JENIS_TEMBAKAU</v>
      </c>
      <c r="B7" t="str">
        <v>VARCHAR(50)</v>
      </c>
      <c r="C7" t="str">
        <v>Dropdown dari Master Data Tembakau</v>
      </c>
      <c r="D7" t="str">
        <v>-</v>
      </c>
      <c r="E7" t="str">
        <v>Jenis bahan baku tembakau yang diproses</v>
      </c>
    </row>
    <row r="8">
      <c r="A8" t="str">
        <v>NETTO_BAKU_KG</v>
      </c>
      <c r="B8" t="str">
        <v>DECIMAL(10,2)</v>
      </c>
      <c r="C8" t="str">
        <v>Required, Min: 0.01, Step: 0.01</v>
      </c>
      <c r="D8" t="str">
        <v>-</v>
      </c>
      <c r="E8" t="str">
        <v>Berat bersih bahan baku tembakau sebelum diproses</v>
      </c>
    </row>
    <row r="9">
      <c r="A9" t="str">
        <v>NETTO_HASIL_KG</v>
      </c>
      <c r="B9" t="str">
        <v>DECIMAL(10,2)</v>
      </c>
      <c r="C9" t="str">
        <v>Required, Min: 0, Must &lt;= NETTO_BAKU_KG</v>
      </c>
      <c r="D9" t="str">
        <v>-</v>
      </c>
      <c r="E9" t="str">
        <v>Berat bersih tembakau hasil rajangan/proses</v>
      </c>
    </row>
    <row r="10">
      <c r="A10" t="str">
        <v>SUSUT_KG</v>
      </c>
      <c r="B10" t="str">
        <v>DECIMAL(10,2)</v>
      </c>
      <c r="C10" t="str">
        <v>Readonly / Auto-computed</v>
      </c>
      <c r="D10" t="str">
        <v>=G2-H2</v>
      </c>
      <c r="E10" t="str">
        <v>Total kehilangan berat (Baku - Hasil)</v>
      </c>
    </row>
    <row r="11">
      <c r="A11" t="str">
        <v>SUSUT_PCT</v>
      </c>
      <c r="B11" t="str">
        <v>DECIMAL(6,4)</v>
      </c>
      <c r="C11" t="str">
        <v>Readonly / Auto-computed (Persentase)</v>
      </c>
      <c r="D11" t="str">
        <v>=IF(G2&gt;0, (G2-H2)/G2, 0)</v>
      </c>
      <c r="E11" t="str">
        <v>Persentase penyusutan terhadap bahan baku</v>
      </c>
    </row>
    <row r="12">
      <c r="A12" t="str">
        <v>FRAKSI_GAGANG_KG</v>
      </c>
      <c r="B12" t="str">
        <v>DECIMAL(10,2)</v>
      </c>
      <c r="C12" t="str">
        <v>Optional, Default: 0</v>
      </c>
      <c r="D12" t="str">
        <v>-</v>
      </c>
      <c r="E12" t="str">
        <v>Berat gagang tembakau yang dipisahkan</v>
      </c>
    </row>
    <row r="13">
      <c r="A13" t="str">
        <v>FRAKSI_AIR_KG</v>
      </c>
      <c r="B13" t="str">
        <v>DECIMAL(10,2)</v>
      </c>
      <c r="C13" t="str">
        <v>Optional, Default: 0 (Moisture loss)</v>
      </c>
      <c r="D13" t="str">
        <v>-</v>
      </c>
      <c r="E13" t="str">
        <v>Kehilangan bobot akibat penguapan air</v>
      </c>
    </row>
    <row r="14">
      <c r="A14" t="str">
        <v>FRAKSI_DEBU_KG</v>
      </c>
      <c r="B14" t="str">
        <v>DECIMAL(10,2)</v>
      </c>
      <c r="C14" t="str">
        <v>Optional, Default: 0 (Filing/Dust)</v>
      </c>
      <c r="D14" t="str">
        <v>-</v>
      </c>
      <c r="E14" t="str">
        <v>Debu/partikel tembakau yang terhisap dust collector</v>
      </c>
    </row>
    <row r="15">
      <c r="A15" t="str">
        <v>SELISIH_NERACA_KG</v>
      </c>
      <c r="B15" t="str">
        <v>DECIMAL(10,2)</v>
      </c>
      <c r="C15" t="str">
        <v>Readonly / Warning jika != 0</v>
      </c>
      <c r="D15" t="str">
        <v>=I2-(K2+L2+M2)</v>
      </c>
      <c r="E15" t="str">
        <v>Neraca Massa: Susut - (Gagang + Air + Debu). Ideal = 0</v>
      </c>
    </row>
    <row r="16">
      <c r="A16" t="str">
        <v>OPERATOR_ADMIN</v>
      </c>
      <c r="B16" t="str">
        <v>VARCHAR(50)</v>
      </c>
      <c r="C16" t="str">
        <v>Dropdown atau Auto dari Akun Login</v>
      </c>
      <c r="D16" t="str">
        <v>-</v>
      </c>
      <c r="E16" t="str">
        <v>Nama personil/admin yang menginput data</v>
      </c>
    </row>
    <row r="17">
      <c r="A17" t="str">
        <v>STATUS_PROSES</v>
      </c>
      <c r="B17" t="str">
        <v>VARCHAR(20)</v>
      </c>
      <c r="C17" t="str">
        <v>Dropdown: COMPLETED, ON-HOLD, REJECTED</v>
      </c>
      <c r="D17" t="str">
        <v>-</v>
      </c>
      <c r="E17" t="str">
        <v>Status verifikasi QC dan approval supervisor</v>
      </c>
    </row>
    <row r="18">
      <c r="A18" t="str">
        <v>CATATAN_KENDALA</v>
      </c>
      <c r="B18" t="str">
        <v>TEXT</v>
      </c>
      <c r="C18" t="str">
        <v>Optional textarea</v>
      </c>
      <c r="D18" t="str">
        <v>-</v>
      </c>
      <c r="E18" t="str">
        <v>Catatan khusus jika terjadi deviasi atau kendala mesin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DHP_INPUT_PROSES</vt:lpstr>
      <vt:lpstr>MASTER_DATA</vt:lpstr>
      <vt:lpstr>KAMUS_DATA_WEB_APPS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